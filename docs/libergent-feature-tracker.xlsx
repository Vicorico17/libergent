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fb96876a5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3c6aa282884545"/>
    <x:sheet xmlns:r="http://schemas.openxmlformats.org/officeDocument/2006/relationships" name="User Stories" sheetId="2" r:id="R3b475b83605148f1"/>
    <x:sheet xmlns:r="http://schemas.openxmlformats.org/officeDocument/2006/relationships" name="Error Log" sheetId="3" r:id="R8a89c30dc43e4067"/>
    <x:sheet xmlns:r="http://schemas.openxmlformats.org/officeDocument/2006/relationships" name="Test Runs" sheetId="4" r:id="R4b43f86d0e8a4619"/>
    <x:sheet xmlns:r="http://schemas.openxmlformats.org/officeDocument/2006/relationships" name="Source Inventory" sheetId="5" r:id="R2789b7c2f18d433e"/>
    <x:sheet xmlns:r="http://schemas.openxmlformats.org/officeDocument/2006/relationships" name="Release Actions" sheetId="6" r:id="Reac98773f45742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1111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11111"/>
      </x:patternFill>
    </x:fill>
    <x:fill>
      <x:patternFill patternType="solid">
        <x:fgColor rgb="FF3366"/>
      </x:patternFill>
    </x:fill>
    <x:fill>
      <x:patternFill patternType="solid">
        <x:fgColor rgb="F5F3EE"/>
      </x:patternFill>
    </x:fill>
    <x:fill>
      <x:patternFill patternType="solid">
        <x:fgColor rgb="FFF0F5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8672fb7cde4a67" /><Relationship Type="http://schemas.openxmlformats.org/officeDocument/2006/relationships/theme" Target="/xl/theme/theme1.xml" Id="Rfdab5ba14cd44ba2" /><Relationship Type="http://schemas.openxmlformats.org/officeDocument/2006/relationships/sharedStrings" Target="/xl/sharedStrings.xml" Id="Rdd61c2e15ffe47ae" /><Relationship Type="http://schemas.openxmlformats.org/officeDocument/2006/relationships/worksheet" Target="/xl/worksheets/sheet1.xml" Id="R133c6aa282884545" /><Relationship Type="http://schemas.openxmlformats.org/officeDocument/2006/relationships/worksheet" Target="/xl/worksheets/sheet2.xml" Id="R3b475b83605148f1" /><Relationship Type="http://schemas.openxmlformats.org/officeDocument/2006/relationships/worksheet" Target="/xl/worksheets/sheet3.xml" Id="R8a89c30dc43e4067" /><Relationship Type="http://schemas.openxmlformats.org/officeDocument/2006/relationships/worksheet" Target="/xl/worksheets/sheet4.xml" Id="R4b43f86d0e8a4619" /><Relationship Type="http://schemas.openxmlformats.org/officeDocument/2006/relationships/worksheet" Target="/xl/worksheets/sheet5.xml" Id="R2789b7c2f18d433e" /><Relationship Type="http://schemas.openxmlformats.org/officeDocument/2006/relationships/worksheet" Target="/xl/worksheets/sheet6.xml" Id="Reac98773f45742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4" hidden="0" customWidth="1"/>
    <x:col min="4" max="4" width="8" hidden="0" customWidth="1"/>
    <x:col min="5" max="5" width="25" hidden="0" customWidth="1"/>
    <x:col min="6" max="6" width="28" hidden="0" customWidth="1"/>
    <x:col min="7" max="7" width="34" hidden="0" customWidth="1"/>
    <x:col min="8" max="8" width="18" hidden="0" customWidth="1"/>
  </x:cols>
  <x:sheetData>
    <x:row r="1">
      <x:c r="A1" s="11" t="str">
        <x:v>LIBERGENT — FEATURE &amp; USER-STORY QA TRACKER</x:v>
      </x:c>
      <x:c r="B1" s="11"/>
      <x:c r="C1" s="11"/>
      <x:c r="D1" s="11"/>
      <x:c r="E1" s="11"/>
      <x:c r="F1" s="11"/>
      <x:c r="G1" s="11"/>
      <x:c r="H1" s="11"/>
    </x:row>
    <x:row r="3" ht="34" customHeight="1">
      <x:c r="A3" s="3" t="str">
        <x:v>Tracker purpose</x:v>
      </x:c>
      <x:c r="B3" s="13" t="str">
        <x:v>Canonical inventory, QA evidence, errors, fixes, and regression status</x:v>
      </x:c>
      <x:c r="D3" s="14" t="str">
        <x:v>Workflow</x:v>
      </x:c>
      <x:c r="E3" s="14"/>
      <x:c r="F3" s="14"/>
      <x:c r="G3" s="14"/>
      <x:c r="H3" s="14"/>
    </x:row>
    <x:row r="4" ht="38" customHeight="1">
      <x:c r="A4" s="3" t="str">
        <x:v>Last reviewed</x:v>
      </x:c>
      <x:c r="B4" s="13" t="str">
        <x:v>2026-08-02</x:v>
      </x:c>
      <x:c r="D4" s="15" t="str">
        <x:v>1</x:v>
      </x:c>
      <x:c r="E4" s="15" t="str">
        <x:v>Inventory from code</x:v>
      </x:c>
      <x:c r="F4" s="15" t="str">
        <x:v>Complete for current tracked surface</x:v>
      </x:c>
      <x:c r="G4" s="15" t="str">
        <x:v>Update rows when code changes</x:v>
      </x:c>
      <x:c r="H4" s="15" t="str">
        <x:v>Owner: QA</x:v>
      </x:c>
    </x:row>
    <x:row r="5" ht="38" customHeight="1">
      <x:c r="A5" s="3" t="str">
        <x:v>Stories inventoried</x:v>
      </x:c>
      <x:c r="B5" s="13" t="n">
        <x:f>COUNTA('User Stories'!A2:A43)</x:f>
        <x:v>42</x:v>
      </x:c>
      <x:c r="D5" s="15" t="str">
        <x:v>2</x:v>
      </x:c>
      <x:c r="E5" s="15" t="str">
        <x:v>Test every story</x:v>
      </x:c>
      <x:c r="F5" s="15" t="str">
        <x:v>In progress</x:v>
      </x:c>
      <x:c r="G5" s="15" t="str">
        <x:v>Record evidence in Test Runs and errors in Error Log</x:v>
      </x:c>
      <x:c r="H5" s="15" t="str">
        <x:v>Owner: QA</x:v>
      </x:c>
    </x:row>
    <x:row r="6" ht="38" customHeight="1">
      <x:c r="A6" s="3" t="str">
        <x:v>Implemented by code/tests</x:v>
      </x:c>
      <x:c r="B6" s="13" t="n">
        <x:f>COUNTIF('User Stories'!F2:F43,"Implemented")</x:f>
        <x:v>37</x:v>
      </x:c>
      <x:c r="D6" s="15" t="str">
        <x:v>3</x:v>
      </x:c>
      <x:c r="E6" s="15" t="str">
        <x:v>Fix logistical / UX errors</x:v>
      </x:c>
      <x:c r="F6" s="15" t="str">
        <x:v>Pending</x:v>
      </x:c>
      <x:c r="G6" s="15" t="str">
        <x:v>Keep original story ID linked to each fix</x:v>
      </x:c>
      <x:c r="H6" s="15" t="str">
        <x:v>Owner: Engineering</x:v>
      </x:c>
    </x:row>
    <x:row r="7" ht="38" customHeight="1">
      <x:c r="A7" s="3" t="str">
        <x:v>Partial / mismatch risk</x:v>
      </x:c>
      <x:c r="B7" s="13" t="n">
        <x:f>COUNTIF('User Stories'!F2:F43,"Partial")</x:f>
        <x:v>5</x:v>
      </x:c>
      <x:c r="D7" s="15" t="str">
        <x:v>4</x:v>
      </x:c>
      <x:c r="E7" s="15" t="str">
        <x:v>Post-fix regression</x:v>
      </x:c>
      <x:c r="F7" s="15" t="str">
        <x:v>Pending</x:v>
      </x:c>
      <x:c r="G7" s="15" t="str">
        <x:v>Retest every story and record result</x:v>
      </x:c>
      <x:c r="H7" s="15" t="str">
        <x:v>Owner: QA</x:v>
      </x:c>
    </x:row>
    <x:row r="8" ht="38" customHeight="1">
      <x:c r="A8" s="3" t="str">
        <x:v>Open QA stories</x:v>
      </x:c>
      <x:c r="B8" s="13" t="n">
        <x:f>COUNTIF('User Stories'!J2:J43,"Open")</x:f>
        <x:v>31</x:v>
      </x:c>
      <x:c r="D8" s="15" t="str">
        <x:v>5</x:v>
      </x:c>
      <x:c r="E8" s="15" t="str">
        <x:v>Close tracker</x:v>
      </x:c>
      <x:c r="F8" s="15" t="str">
        <x:v>Pending</x:v>
      </x:c>
      <x:c r="G8" s="15" t="str">
        <x:v>No open errors; every story has post-fix evidence</x:v>
      </x:c>
      <x:c r="H8" s="15" t="str">
        <x:v>Owner: QA</x:v>
      </x:c>
    </x:row>
    <x:row r="9" ht="34" customHeight="1">
      <x:c r="A9" s="3" t="str">
        <x:v>Open errors</x:v>
      </x:c>
      <x:c r="B9" s="13" t="n">
        <x:f>COUNTIF('Error Log'!F2:F4,"Open — confirmed")+COUNTIF('Error Log'!F2:F4,"Open — static risk")</x:f>
        <x:v>2</x:v>
      </x:c>
    </x:row>
    <x:row r="10" ht="34" customHeight="1">
      <x:c r="A10" s="3" t="str">
        <x:v>Baseline automated tests</x:v>
      </x:c>
      <x:c r="B10" s="13" t="str">
        <x:v>133 passed; UI lint passed</x:v>
      </x:c>
    </x:row>
    <x:row r="12" ht="42" customHeight="1">
      <x:c r="A12" s="18" t="str">
        <x:v>Status legend: Implemented = behavior is evidenced in current code/tests; Partial = code exists but behavior or parity is incomplete/unverified; QA status stays Open until a user-story test is run.</x:v>
      </x:c>
      <x:c r="B12" s="18"/>
      <x:c r="C12" s="18"/>
      <x:c r="D12" s="18"/>
      <x:c r="E12" s="18"/>
      <x:c r="F12" s="18"/>
      <x:c r="G12" s="18"/>
      <x:c r="H12" s="18"/>
    </x:row>
  </x:sheetData>
  <x:mergeCells>
    <x:mergeCell ref="A1:H1"/>
    <x:mergeCell ref="D3:H3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2" hidden="0" customWidth="1"/>
    <x:col min="4" max="4" width="42" hidden="0" customWidth="1"/>
    <x:col min="5" max="5" width="62" hidden="0" customWidth="1"/>
    <x:col min="6" max="6" width="18" hidden="0" customWidth="1"/>
    <x:col min="7" max="7" width="16" hidden="0" customWidth="1"/>
    <x:col min="8" max="8" width="46" hidden="0" customWidth="1"/>
    <x:col min="9" max="9" width="46" hidden="0" customWidth="1"/>
    <x:col min="10" max="10" width="14" hidden="0" customWidth="1"/>
  </x:cols>
  <x:sheetData>
    <x:row r="1">
      <x:c r="A1" s="5" t="str">
        <x:v>ID</x:v>
      </x:c>
      <x:c r="B1" s="5" t="str">
        <x:v>Area</x:v>
      </x:c>
      <x:c r="C1" s="5" t="str">
        <x:v>Surface</x:v>
      </x:c>
      <x:c r="D1" s="5" t="str">
        <x:v>User story</x:v>
      </x:c>
      <x:c r="E1" s="5" t="str">
        <x:v>Expected behaviour</x:v>
      </x:c>
      <x:c r="F1" s="5" t="str">
        <x:v>Implementation status</x:v>
      </x:c>
      <x:c r="G1" s="5" t="str">
        <x:v>Evidence type</x:v>
      </x:c>
      <x:c r="H1" s="5" t="str">
        <x:v>Code/source evidence</x:v>
      </x:c>
      <x:c r="I1" s="5" t="str">
        <x:v>Current evidence</x:v>
      </x:c>
      <x:c r="J1" s="5" t="str">
        <x:v>QA status</x:v>
      </x:c>
    </x:row>
    <x:row r="2">
      <x:c r="A2" s="7" t="str">
        <x:v>US-001</x:v>
      </x:c>
      <x:c r="B2" s="7" t="str">
        <x:v>Discovery</x:v>
      </x:c>
      <x:c r="C2" s="7" t="str">
        <x:v>Landing page</x:v>
      </x:c>
      <x:c r="D2" s="7" t="str">
        <x:v>As a visitor, I want to understand LiberGent's value so I can decide whether to search.</x:v>
      </x:c>
      <x:c r="E2" s="7" t="str">
        <x:v>The landing page explains Romania-first marketplace search, comparison, and contact flows; CTA links reach search.</x:v>
      </x:c>
      <x:c r="F2" s="7" t="str">
        <x:v>Implemented</x:v>
      </x:c>
      <x:c r="G2" s="7" t="str">
        <x:v>Static</x:v>
      </x:c>
      <x:c r="H2" s="7" t="str">
        <x:v>ui/src/app/page.tsx; ui/src/components/sections/*</x:v>
      </x:c>
      <x:c r="I2" s="7" t="str">
        <x:v>Static code review; browser test pending</x:v>
      </x:c>
      <x:c r="J2" s="7" t="str">
        <x:v>Open</x:v>
      </x:c>
    </x:row>
    <x:row r="3">
      <x:c r="A3" s="7" t="str">
        <x:v>US-002</x:v>
      </x:c>
      <x:c r="B3" s="7" t="str">
        <x:v>Navigation</x:v>
      </x:c>
      <x:c r="C3" s="7" t="str">
        <x:v>Global nav</x:v>
      </x:c>
      <x:c r="D3" s="7" t="str">
        <x:v>As a visitor, I want to navigate to search, trends, pricing, and account/auth so I can reach core areas.</x:v>
      </x:c>
      <x:c r="E3" s="7" t="str">
        <x:v>Desktop and mobile navigation expose valid routes; mobile menu opens/closes and links preserve intent.</x:v>
      </x:c>
      <x:c r="F3" s="7" t="str">
        <x:v>Implemented</x:v>
      </x:c>
      <x:c r="G3" s="7" t="str">
        <x:v>Static</x:v>
      </x:c>
      <x:c r="H3" s="7" t="str">
        <x:v>ui/src/components/Navbar.tsx; ui/src/components/Footer.tsx</x:v>
      </x:c>
      <x:c r="I3" s="7" t="str">
        <x:v>Static code review; browser test pending</x:v>
      </x:c>
      <x:c r="J3" s="7" t="str">
        <x:v>Open</x:v>
      </x:c>
    </x:row>
    <x:row r="4">
      <x:c r="A4" s="7" t="str">
        <x:v>US-003</x:v>
      </x:c>
      <x:c r="B4" s="7" t="str">
        <x:v>Search</x:v>
      </x:c>
      <x:c r="C4" s="7" t="str">
        <x:v>Free search</x:v>
      </x:c>
      <x:c r="D4" s="7" t="str">
        <x:v>As a buyer, I want to enter a product query and run a free search so I can compare listings.</x:v>
      </x:c>
      <x:c r="E4" s="7" t="str">
        <x:v>Submitting a non-empty query navigates to /search?q=... and calls /api/search/free; missing q is handled clearly.</x:v>
      </x:c>
      <x:c r="F4" s="7" t="str">
        <x:v>Implemented</x:v>
      </x:c>
      <x:c r="G4" s="7" t="str">
        <x:v>Automated</x:v>
      </x:c>
      <x:c r="H4" s="7" t="str">
        <x:v>ui/src/app/search/page.tsx; src/server.js; src/worker.js</x:v>
      </x:c>
      <x:c r="I4" s="7" t="str">
        <x:v>Backend contract tests pass; browser test pending</x:v>
      </x:c>
      <x:c r="J4" s="7" t="str">
        <x:v>API pass / UI pending</x:v>
      </x:c>
    </x:row>
    <x:row r="5">
      <x:c r="A5" s="7" t="str">
        <x:v>US-004</x:v>
      </x:c>
      <x:c r="B5" s="7" t="str">
        <x:v>Search</x:v>
      </x:c>
      <x:c r="C5" s="7" t="str">
        <x:v>Search URL state</x:v>
      </x:c>
      <x:c r="D5" s="7" t="str">
        <x:v>As a buyer, I want search query and tier in the URL so I can refresh/share a search.</x:v>
      </x:c>
      <x:c r="E5" s="7" t="str">
        <x:v>/search?q=...&amp;tier=free|premium restores the query and tier without losing context.</x:v>
      </x:c>
      <x:c r="F5" s="7" t="str">
        <x:v>Implemented</x:v>
      </x:c>
      <x:c r="G5" s="7" t="str">
        <x:v>Static</x:v>
      </x:c>
      <x:c r="H5" s="7" t="str">
        <x:v>ui/src/app/search/page.tsx</x:v>
      </x:c>
      <x:c r="I5" s="7" t="str">
        <x:v>Static review; browser test pending</x:v>
      </x:c>
      <x:c r="J5" s="7" t="str">
        <x:v>Open</x:v>
      </x:c>
    </x:row>
    <x:row r="6">
      <x:c r="A6" s="7" t="str">
        <x:v>US-005</x:v>
      </x:c>
      <x:c r="B6" s="7" t="str">
        <x:v>Search</x:v>
      </x:c>
      <x:c r="C6" s="7" t="str">
        <x:v>Loading progress</x:v>
      </x:c>
      <x:c r="D6" s="7" t="str">
        <x:v>As a buyer, I want transparent progress while sources are searched so I know the app is working.</x:v>
      </x:c>
      <x:c r="E6" s="7" t="str">
        <x:v>Loader shows progress/source states and resolves to results, empty state, or an actionable error.</x:v>
      </x:c>
      <x:c r="F6" s="7" t="str">
        <x:v>Implemented</x:v>
      </x:c>
      <x:c r="G6" s="7" t="str">
        <x:v>Static</x:v>
      </x:c>
      <x:c r="H6" s="7" t="str">
        <x:v>ui/src/app/search/page.tsx</x:v>
      </x:c>
      <x:c r="I6" s="7" t="str">
        <x:v>Static review; browser test pending</x:v>
      </x:c>
      <x:c r="J6" s="7" t="str">
        <x:v>Open</x:v>
      </x:c>
    </x:row>
    <x:row r="7">
      <x:c r="A7" s="7" t="str">
        <x:v>US-006</x:v>
      </x:c>
      <x:c r="B7" s="7" t="str">
        <x:v>Search</x:v>
      </x:c>
      <x:c r="C7" s="7" t="str">
        <x:v>Marketplace aggregation</x:v>
      </x:c>
      <x:c r="D7" s="7" t="str">
        <x:v>As a buyer, I want results from multiple marketplaces in one list so I can compare supply.</x:v>
      </x:c>
      <x:c r="E7" s="7" t="str">
        <x:v>Requested sources are represented, failures are visible, and usable cards are aggregated.</x:v>
      </x:c>
      <x:c r="F7" s="7" t="str">
        <x:v>Implemented</x:v>
      </x:c>
      <x:c r="G7" s="7" t="str">
        <x:v>Automated</x:v>
      </x:c>
      <x:c r="H7" s="7" t="str">
        <x:v>src/app.js; src/search.js; src/aggregate.js</x:v>
      </x:c>
      <x:c r="I7" s="7" t="str">
        <x:v>Backend tests pass; browser test pending</x:v>
      </x:c>
      <x:c r="J7" s="7" t="str">
        <x:v>API pass / UI pending</x:v>
      </x:c>
    </x:row>
    <x:row r="8">
      <x:c r="A8" s="7" t="str">
        <x:v>US-007</x:v>
      </x:c>
      <x:c r="B8" s="7" t="str">
        <x:v>Search</x:v>
      </x:c>
      <x:c r="C8" s="7" t="str">
        <x:v>Query relevance</x:v>
      </x:c>
      <x:c r="D8" s="7" t="str">
        <x:v>As a buyer, I want irrelevant variants, parts, accessories, wanted ads, and damaged items filtered so recommendations are trustworthy.</x:v>
      </x:c>
      <x:c r="E8" s="7" t="str">
        <x:v>Required model/spec tokens are enforced; exclusions and keyword signals are exposed.</x:v>
      </x:c>
      <x:c r="F8" s="7" t="str">
        <x:v>Implemented</x:v>
      </x:c>
      <x:c r="G8" s="7" t="str">
        <x:v>Automated</x:v>
      </x:c>
      <x:c r="H8" s="7" t="str">
        <x:v>src/relevance.js; src/aggregate.js; src/query-normalization.js</x:v>
      </x:c>
      <x:c r="I8" s="7" t="str">
        <x:v>Automated relevance tests pass; browser test pending</x:v>
      </x:c>
      <x:c r="J8" s="7" t="str">
        <x:v>Open</x:v>
      </x:c>
    </x:row>
    <x:row r="9">
      <x:c r="A9" s="7" t="str">
        <x:v>US-008</x:v>
      </x:c>
      <x:c r="B9" s="7" t="str">
        <x:v>Search</x:v>
      </x:c>
      <x:c r="C9" s="7" t="str">
        <x:v>Result sorting</x:v>
      </x:c>
      <x:c r="D9" s="7" t="str">
        <x:v>As a buyer, I want to sort results by relevance, keyword match, price, recency, or agent score.</x:v>
      </x:c>
      <x:c r="E9" s="7" t="str">
        <x:v>Selecting a sort option changes visible order deterministically and retains filters.</x:v>
      </x:c>
      <x:c r="F9" s="7" t="str">
        <x:v>Implemented</x:v>
      </x:c>
      <x:c r="G9" s="7" t="str">
        <x:v>Static</x:v>
      </x:c>
      <x:c r="H9" s="7" t="str">
        <x:v>ui/src/app/search/page.tsx</x:v>
      </x:c>
      <x:c r="I9" s="7" t="str">
        <x:v>Static review; browser test pending</x:v>
      </x:c>
      <x:c r="J9" s="7" t="str">
        <x:v>Open</x:v>
      </x:c>
    </x:row>
    <x:row r="10">
      <x:c r="A10" s="7" t="str">
        <x:v>US-009</x:v>
      </x:c>
      <x:c r="B10" s="7" t="str">
        <x:v>Search</x:v>
      </x:c>
      <x:c r="C10" s="7" t="str">
        <x:v>Result filters</x:v>
      </x:c>
      <x:c r="D10" s="7" t="str">
        <x:v>As a buyer, I want to filter by source, source type, condition, and price range.</x:v>
      </x:c>
      <x:c r="E10" s="7" t="str">
        <x:v>Filters update results, can be reset, persist locally, and work in the mobile filter surface.</x:v>
      </x:c>
      <x:c r="F10" s="7" t="str">
        <x:v>Implemented</x:v>
      </x:c>
      <x:c r="G10" s="7" t="str">
        <x:v>Static</x:v>
      </x:c>
      <x:c r="H10" s="7" t="str">
        <x:v>ui/src/app/search/page.tsx; ui/src/components/search/SearchFilters.tsx</x:v>
      </x:c>
      <x:c r="I10" s="7" t="str">
        <x:v>Static review; browser test pending</x:v>
      </x:c>
      <x:c r="J10" s="7" t="str">
        <x:v>Open</x:v>
      </x:c>
    </x:row>
    <x:row r="11">
      <x:c r="A11" s="7" t="str">
        <x:v>US-010</x:v>
      </x:c>
      <x:c r="B11" s="7" t="str">
        <x:v>Search</x:v>
      </x:c>
      <x:c r="C11" s="7" t="str">
        <x:v>Progressive results</x:v>
      </x:c>
      <x:c r="D11" s="7" t="str">
        <x:v>As a buyer, I want to see an initial result set and load more results so large searches remain usable.</x:v>
      </x:c>
      <x:c r="E11" s="7" t="str">
        <x:v>Results are capped initially and Load more adds the configured increment until exhausted.</x:v>
      </x:c>
      <x:c r="F11" s="7" t="str">
        <x:v>Implemented</x:v>
      </x:c>
      <x:c r="G11" s="7" t="str">
        <x:v>Static</x:v>
      </x:c>
      <x:c r="H11" s="7" t="str">
        <x:v>ui/src/app/search/page.tsx</x:v>
      </x:c>
      <x:c r="I11" s="7" t="str">
        <x:v>Static review; browser test pending</x:v>
      </x:c>
      <x:c r="J11" s="7" t="str">
        <x:v>Open</x:v>
      </x:c>
    </x:row>
    <x:row r="12">
      <x:c r="A12" s="7" t="str">
        <x:v>US-011</x:v>
      </x:c>
      <x:c r="B12" s="7" t="str">
        <x:v>Recommendations</x:v>
      </x:c>
      <x:c r="C12" s="7" t="str">
        <x:v>Best used deal</x:v>
      </x:c>
      <x:c r="D12" s="7" t="str">
        <x:v>As a buyer, I want a best-used recommendation so I can start with the strongest opportunity.</x:v>
      </x:c>
      <x:c r="E12" s="7" t="str">
        <x:v>A qualifying used listing is shown with score, reasons, risk, keyword, and price evidence; absent evidence produces a clear limited/empty state.</x:v>
      </x:c>
      <x:c r="F12" s="7" t="str">
        <x:v>Implemented</x:v>
      </x:c>
      <x:c r="G12" s="7" t="str">
        <x:v>Automated</x:v>
      </x:c>
      <x:c r="H12" s="7" t="str">
        <x:v>src/aggregate.js; ui/src/app/search/search-data.ts; ui/src/app/search/page.tsx</x:v>
      </x:c>
      <x:c r="I12" s="7" t="str">
        <x:v>Aggregation tests pass; current API/UI integration pending</x:v>
      </x:c>
      <x:c r="J12" s="7" t="str">
        <x:v>API pass / UI pending</x:v>
      </x:c>
    </x:row>
    <x:row r="13">
      <x:c r="A13" s="7" t="str">
        <x:v>US-012</x:v>
      </x:c>
      <x:c r="B13" s="7" t="str">
        <x:v>Recommendations</x:v>
      </x:c>
      <x:c r="C13" s="7" t="str">
        <x:v>New benchmark</x:v>
      </x:c>
      <x:c r="D13" s="7" t="str">
        <x:v>As a buyer, I want a separate new-price benchmark so I can judge used savings.</x:v>
      </x:c>
      <x:c r="E13" s="7" t="str">
        <x:v>New retail inventory is separated, deduplicated, and savings/price intelligence are visible.</x:v>
      </x:c>
      <x:c r="F13" s="7" t="str">
        <x:v>Implemented</x:v>
      </x:c>
      <x:c r="G13" s="7" t="str">
        <x:v>Automated</x:v>
      </x:c>
      <x:c r="H13" s="7" t="str">
        <x:v>src/aggregate.js; src/market-segment.js; ui/src/app/search/page.tsx</x:v>
      </x:c>
      <x:c r="I13" s="7" t="str">
        <x:v>Aggregation tests pass; browser test pending</x:v>
      </x:c>
      <x:c r="J13" s="7" t="str">
        <x:v>API pass / UI pending</x:v>
      </x:c>
    </x:row>
    <x:row r="14">
      <x:c r="A14" s="7" t="str">
        <x:v>US-013</x:v>
      </x:c>
      <x:c r="B14" s="7" t="str">
        <x:v>Diagnostics</x:v>
      </x:c>
      <x:c r="C14" s="7" t="str">
        <x:v>Search report</x:v>
      </x:c>
      <x:c r="D14" s="7" t="str">
        <x:v>As a buyer, I want source coverage, counts, provider, and errors available so I can understand search quality.</x:v>
      </x:c>
      <x:c r="E14" s="7" t="str">
        <x:v>Raport Căutare is collapsed by default and exposes agent notes, source distribution, counts, and technical errors.</x:v>
      </x:c>
      <x:c r="F14" s="7" t="str">
        <x:v>Implemented</x:v>
      </x:c>
      <x:c r="G14" s="7" t="str">
        <x:v>Static</x:v>
      </x:c>
      <x:c r="H14" s="7" t="str">
        <x:v>ui/src/app/search/page.tsx; README.md</x:v>
      </x:c>
      <x:c r="I14" s="7" t="str">
        <x:v>Static review; browser test pending</x:v>
      </x:c>
      <x:c r="J14" s="7" t="str">
        <x:v>Open</x:v>
      </x:c>
    </x:row>
    <x:row r="15">
      <x:c r="A15" s="7" t="str">
        <x:v>US-014</x:v>
      </x:c>
      <x:c r="B15" s="7" t="str">
        <x:v>Listing</x:v>
      </x:c>
      <x:c r="C15" s="7" t="str">
        <x:v>Listing detail analysis</x:v>
      </x:c>
      <x:c r="D15" s="7" t="str">
        <x:v>As a buyer, I want to open LiberGent analysis for a listing so I can inspect seller/product evidence.</x:v>
      </x:c>
      <x:c r="E15" s="7" t="str">
        <x:v>Opening a card lazily calls supported /api/marketplace/details and shows available description, location, seller, rating, specs, delivery, and payable total; missing values stay unavailable.</x:v>
      </x:c>
      <x:c r="F15" s="7" t="str">
        <x:v>Implemented</x:v>
      </x:c>
      <x:c r="G15" s="7" t="str">
        <x:v>Automated</x:v>
      </x:c>
      <x:c r="H15" s="7" t="str">
        <x:v>src/listing-details.js; src/worker.js; ui/src/app/search/page.tsx</x:v>
      </x:c>
      <x:c r="I15" s="7" t="str">
        <x:v>Worker detail tests pass; browser test pending</x:v>
      </x:c>
      <x:c r="J15" s="7" t="str">
        <x:v>Open</x:v>
      </x:c>
    </x:row>
    <x:row r="16">
      <x:c r="A16" s="7" t="str">
        <x:v>US-015</x:v>
      </x:c>
      <x:c r="B16" s="7" t="str">
        <x:v>Listing</x:v>
      </x:c>
      <x:c r="C16" s="7" t="str">
        <x:v>External listing visit</x:v>
      </x:c>
      <x:c r="D16" s="7" t="str">
        <x:v>As a buyer, I want to open the original marketplace listing so I can transact there.</x:v>
      </x:c>
      <x:c r="E16" s="7" t="str">
        <x:v>Marketplace link opens the listing in a new tab with safe rel attributes.</x:v>
      </x:c>
      <x:c r="F16" s="7" t="str">
        <x:v>Implemented</x:v>
      </x:c>
      <x:c r="G16" s="7" t="str">
        <x:v>Static</x:v>
      </x:c>
      <x:c r="H16" s="7" t="str">
        <x:v>ui/src/app/search/page.tsx; ui/src/components/AccountDashboard.tsx</x:v>
      </x:c>
      <x:c r="I16" s="7" t="str">
        <x:v>Static review; browser test pending</x:v>
      </x:c>
      <x:c r="J16" s="7" t="str">
        <x:v>Open</x:v>
      </x:c>
    </x:row>
    <x:row r="17">
      <x:c r="A17" s="7" t="str">
        <x:v>US-016</x:v>
      </x:c>
      <x:c r="B17" s="7" t="str">
        <x:v>Favorites</x:v>
      </x:c>
      <x:c r="C17" s="7" t="str">
        <x:v>Save listing</x:v>
      </x:c>
      <x:c r="D17" s="7" t="str">
        <x:v>As a buyer, I want to save a listing so I can compare it later.</x:v>
      </x:c>
      <x:c r="E17" s="7" t="str">
        <x:v>Save toggles the listing for the signed-in account, persists locally, and reflects saved state in the card.</x:v>
      </x:c>
      <x:c r="F17" s="7" t="str">
        <x:v>Implemented</x:v>
      </x:c>
      <x:c r="G17" s="7" t="str">
        <x:v>Static</x:v>
      </x:c>
      <x:c r="H17" s="7" t="str">
        <x:v>ui/src/app/search/page.tsx; ui/src/lib/account-data.ts</x:v>
      </x:c>
      <x:c r="I17" s="7" t="str">
        <x:v>Static review; browser test pending</x:v>
      </x:c>
      <x:c r="J17" s="7" t="str">
        <x:v>Open</x:v>
      </x:c>
    </x:row>
    <x:row r="18">
      <x:c r="A18" s="7" t="str">
        <x:v>US-017</x:v>
      </x:c>
      <x:c r="B18" s="7" t="str">
        <x:v>Favorites</x:v>
      </x:c>
      <x:c r="C18" s="7" t="str">
        <x:v>Favorites dashboard</x:v>
      </x:c>
      <x:c r="D18" s="7" t="str">
        <x:v>As a signed-in buyer, I want to view/remove saved listings in my account.</x:v>
      </x:c>
      <x:c r="E18" s="7" t="str">
        <x:v>Account shows saved title, price, source, location, date; remove deletes the record; empty state links to search.</x:v>
      </x:c>
      <x:c r="F18" s="7" t="str">
        <x:v>Implemented</x:v>
      </x:c>
      <x:c r="G18" s="7" t="str">
        <x:v>Static</x:v>
      </x:c>
      <x:c r="H18" s="7" t="str">
        <x:v>ui/src/components/AccountDashboard.tsx</x:v>
      </x:c>
      <x:c r="I18" s="7" t="str">
        <x:v>Static review; browser test pending</x:v>
      </x:c>
      <x:c r="J18" s="7" t="str">
        <x:v>Open</x:v>
      </x:c>
    </x:row>
    <x:row r="19">
      <x:c r="A19" s="7" t="str">
        <x:v>US-018</x:v>
      </x:c>
      <x:c r="B19" s="7" t="str">
        <x:v>Feedback</x:v>
      </x:c>
      <x:c r="C19" s="7" t="str">
        <x:v>Offer feedback</x:v>
      </x:c>
      <x:c r="D19" s="7" t="str">
        <x:v>As a buyer, I want to like/dislike a recommendation so the product can learn whether it helped.</x:v>
      </x:c>
      <x:c r="E19" s="7" t="str">
        <x:v>Like/dislike sends valid feedback and shows success/error feedback without breaking the result.</x:v>
      </x:c>
      <x:c r="F19" s="7" t="str">
        <x:v>Implemented</x:v>
      </x:c>
      <x:c r="G19" s="7" t="str">
        <x:v>Automated</x:v>
      </x:c>
      <x:c r="H19" s="7" t="str">
        <x:v>ui/src/app/search/page.tsx; src/server.js; src/worker.js; src/supabase.js</x:v>
      </x:c>
      <x:c r="I19" s="7" t="str">
        <x:v>API validation covered; browser test pending</x:v>
      </x:c>
      <x:c r="J19" s="7" t="str">
        <x:v>API pass / UI pending</x:v>
      </x:c>
    </x:row>
    <x:row r="20">
      <x:c r="A20" s="7" t="str">
        <x:v>US-019</x:v>
      </x:c>
      <x:c r="B20" s="7" t="str">
        <x:v>Contact</x:v>
      </x:c>
      <x:c r="C20" s="7" t="str">
        <x:v>Seller message draft</x:v>
      </x:c>
      <x:c r="D20" s="7" t="str">
        <x:v>As a buyer, I want a Romanian seller-message draft so I can contact a seller quickly.</x:v>
      </x:c>
      <x:c r="E20" s="7" t="str">
        <x:v>A copyable draft is generated from listing/query context; copy success/failure is communicated.</x:v>
      </x:c>
      <x:c r="F20" s="7" t="str">
        <x:v>Implemented</x:v>
      </x:c>
      <x:c r="G20" s="7" t="str">
        <x:v>Static</x:v>
      </x:c>
      <x:c r="H20" s="7" t="str">
        <x:v>ui/src/app/search/page.tsx</x:v>
      </x:c>
      <x:c r="I20" s="7" t="str">
        <x:v>Static review; browser test pending</x:v>
      </x:c>
      <x:c r="J20" s="7" t="str">
        <x:v>Open</x:v>
      </x:c>
    </x:row>
    <x:row r="21">
      <x:c r="A21" s="7" t="str">
        <x:v>US-020</x:v>
      </x:c>
      <x:c r="B21" s="7" t="str">
        <x:v>Contact</x:v>
      </x:c>
      <x:c r="C21" s="7" t="str">
        <x:v>Marketplace contact</x:v>
      </x:c>
      <x:c r="D21" s="7" t="str">
        <x:v>As a buyer, I want to open the seller contact page or resolve a public phone when supported.</x:v>
      </x:c>
      <x:c r="E21" s="7" t="str">
        <x:v>Contact action records intent, uses allowlisted listings, reports phone found/unavailable, and never invents contact data.</x:v>
      </x:c>
      <x:c r="F21" s="7" t="str">
        <x:v>Implemented</x:v>
      </x:c>
      <x:c r="G21" s="7" t="str">
        <x:v>Automated</x:v>
      </x:c>
      <x:c r="H21" s="7" t="str">
        <x:v>src/worker.js; src/phone-numbers.js; ui/src/app/search/page.tsx</x:v>
      </x:c>
      <x:c r="I21" s="7" t="str">
        <x:v>OLX contact tests pass; browser test pending</x:v>
      </x:c>
      <x:c r="J21" s="7" t="str">
        <x:v>Open</x:v>
      </x:c>
    </x:row>
    <x:row r="22">
      <x:c r="A22" s="7" t="str">
        <x:v>US-021</x:v>
      </x:c>
      <x:c r="B22" s="7" t="str">
        <x:v>Contact</x:v>
      </x:c>
      <x:c r="C22" s="7" t="str">
        <x:v>WhatsApp send</x:v>
      </x:c>
      <x:c r="D22" s="7" t="str">
        <x:v>As a signed-in buyer, I want to send an approved message through WhatsApp/OpenClaw.</x:v>
      </x:c>
      <x:c r="E22" s="7" t="str">
        <x:v>Requires auth, normalized mobile number, consent/approval, configured bridge; result becomes visible in conversation history.</x:v>
      </x:c>
      <x:c r="F22" s="7" t="str">
        <x:v>Implemented</x:v>
      </x:c>
      <x:c r="G22" s="7" t="str">
        <x:v>Automated</x:v>
      </x:c>
      <x:c r="H22" s="7" t="str">
        <x:v>src/worker.js; src/outreach.js; src/providers/openclaw.js; ui/src/app/search/page.tsx</x:v>
      </x:c>
      <x:c r="I22" s="7" t="str">
        <x:v>Provider/worker tests pass; live config/browser pending</x:v>
      </x:c>
      <x:c r="J22" s="7" t="str">
        <x:v>Open</x:v>
      </x:c>
    </x:row>
    <x:row r="23">
      <x:c r="A23" s="7" t="str">
        <x:v>US-022</x:v>
      </x:c>
      <x:c r="B23" s="7" t="str">
        <x:v>Conversations</x:v>
      </x:c>
      <x:c r="C23" s="7" t="str">
        <x:v>Conversation center</x:v>
      </x:c>
      <x:c r="D23" s="7" t="str">
        <x:v>As a signed-in buyer, I want to view private seller conversations and statuses.</x:v>
      </x:c>
      <x:c r="E23" s="7" t="str">
        <x:v>Conversation center loads only the authenticated user's conversations, supports selection, refresh, status, and original listing link.</x:v>
      </x:c>
      <x:c r="F23" s="7" t="str">
        <x:v>Implemented</x:v>
      </x:c>
      <x:c r="G23" s="7" t="str">
        <x:v>Automated</x:v>
      </x:c>
      <x:c r="H23" s="7" t="str">
        <x:v>src/worker.js; src/conversations.js; ui/src/app/search/page.tsx; ui/src/components/AccountDashboard.tsx</x:v>
      </x:c>
      <x:c r="I23" s="7" t="str">
        <x:v>Auth isolation tests pass; browser test pending</x:v>
      </x:c>
      <x:c r="J23" s="7" t="str">
        <x:v>Open</x:v>
      </x:c>
    </x:row>
    <x:row r="24">
      <x:c r="A24" s="7" t="str">
        <x:v>US-023</x:v>
      </x:c>
      <x:c r="B24" s="7" t="str">
        <x:v>Auth</x:v>
      </x:c>
      <x:c r="C24" s="7" t="str">
        <x:v>Sign in with social</x:v>
      </x:c>
      <x:c r="D24" s="7" t="str">
        <x:v>As a visitor, I want to sign in with Google/Apple so protected features become available.</x:v>
      </x:c>
      <x:c r="E24" s="7" t="str">
        <x:v>OAuth starts with a safe redirect and returns through confirmation; configuration errors are readable.</x:v>
      </x:c>
      <x:c r="F24" s="7" t="str">
        <x:v>Implemented</x:v>
      </x:c>
      <x:c r="G24" s="7" t="str">
        <x:v>Static</x:v>
      </x:c>
      <x:c r="H24" s="7" t="str">
        <x:v>ui/src/components/GoogleSignIn.tsx; ui/src/app/confirm/page.tsx</x:v>
      </x:c>
      <x:c r="I24" s="7" t="str">
        <x:v>Static review; external auth/browser test pending</x:v>
      </x:c>
      <x:c r="J24" s="7" t="str">
        <x:v>Open</x:v>
      </x:c>
    </x:row>
    <x:row r="25">
      <x:c r="A25" s="7" t="str">
        <x:v>US-024</x:v>
      </x:c>
      <x:c r="B25" s="7" t="str">
        <x:v>Auth</x:v>
      </x:c>
      <x:c r="C25" s="7" t="str">
        <x:v>Magic link</x:v>
      </x:c>
      <x:c r="D25" s="7" t="str">
        <x:v>As a visitor, I want a passwordless email link so I can access my account.</x:v>
      </x:c>
      <x:c r="E25" s="7" t="str">
        <x:v>Valid email submits OTP request; invalid/empty input is blocked; success/error feedback is shown.</x:v>
      </x:c>
      <x:c r="F25" s="7" t="str">
        <x:v>Implemented</x:v>
      </x:c>
      <x:c r="G25" s="7" t="str">
        <x:v>Static</x:v>
      </x:c>
      <x:c r="H25" s="7" t="str">
        <x:v>ui/src/components/GoogleSignIn.tsx; src/leads.js</x:v>
      </x:c>
      <x:c r="I25" s="7" t="str">
        <x:v>Static review; external auth/browser test pending</x:v>
      </x:c>
      <x:c r="J25" s="7" t="str">
        <x:v>Open</x:v>
      </x:c>
    </x:row>
    <x:row r="26">
      <x:c r="A26" s="7" t="str">
        <x:v>US-025</x:v>
      </x:c>
      <x:c r="B26" s="7" t="str">
        <x:v>Auth</x:v>
      </x:c>
      <x:c r="C26" s="7" t="str">
        <x:v>Auth redirect safety</x:v>
      </x:c>
      <x:c r="D26" s="7" t="str">
        <x:v>As a visitor, I want to return to my original search after authentication without open redirects.</x:v>
      </x:c>
      <x:c r="E26" s="7" t="str">
        <x:v>Safe next paths are preserved; external/invalid next values fall back to /.</x:v>
      </x:c>
      <x:c r="F26" s="7" t="str">
        <x:v>Implemented</x:v>
      </x:c>
      <x:c r="G26" s="7" t="str">
        <x:v>Automated</x:v>
      </x:c>
      <x:c r="H26" s="7" t="str">
        <x:v>ui/src/lib/auth-path.ts; ui/src/app/account/page.tsx; ui/src/components/GoogleSignIn.tsx</x:v>
      </x:c>
      <x:c r="I26" s="7" t="str">
        <x:v>Static/helper coverage; browser test pending</x:v>
      </x:c>
      <x:c r="J26" s="7" t="str">
        <x:v>Open</x:v>
      </x:c>
    </x:row>
    <x:row r="27">
      <x:c r="A27" s="7" t="str">
        <x:v>US-026</x:v>
      </x:c>
      <x:c r="B27" s="7" t="str">
        <x:v>Account</x:v>
      </x:c>
      <x:c r="C27" s="7" t="str">
        <x:v>Account dashboard</x:v>
      </x:c>
      <x:c r="D27" s="7" t="str">
        <x:v>As a signed-in buyer, I want a dashboard with favorites, alerts, conversations, and activity.</x:v>
      </x:c>
      <x:c r="E27" s="7" t="str">
        <x:v>Dashboard loads account state, offers section navigation, counts, and sign-out.</x:v>
      </x:c>
      <x:c r="F27" s="7" t="str">
        <x:v>Implemented</x:v>
      </x:c>
      <x:c r="G27" s="7" t="str">
        <x:v>Static</x:v>
      </x:c>
      <x:c r="H27" s="7" t="str">
        <x:v>ui/src/components/AccountDashboard.tsx; ui/src/app/account/page.tsx</x:v>
      </x:c>
      <x:c r="I27" s="7" t="str">
        <x:v>Static review; browser test pending</x:v>
      </x:c>
      <x:c r="J27" s="7" t="str">
        <x:v>Open</x:v>
      </x:c>
    </x:row>
    <x:row r="28">
      <x:c r="A28" s="7" t="str">
        <x:v>US-027</x:v>
      </x:c>
      <x:c r="B28" s="7" t="str">
        <x:v>Alerts</x:v>
      </x:c>
      <x:c r="C28" s="7" t="str">
        <x:v>Create search alert</x:v>
      </x:c>
      <x:c r="D28" s="7" t="str">
        <x:v>As a signed-in buyer, I want to create a product alert so I can track demand.</x:v>
      </x:c>
      <x:c r="E28" s="7" t="str">
        <x:v>Query and account email are validated; alert appears with sync status and can be paused/deleted.</x:v>
      </x:c>
      <x:c r="F28" s="7" t="str">
        <x:v>Partial</x:v>
      </x:c>
      <x:c r="G28" s="7" t="str">
        <x:v>Static</x:v>
      </x:c>
      <x:c r="H28" s="7" t="str">
        <x:v>ui/src/components/AccountDashboard.tsx; src/saved-searches.js; src/worker.js</x:v>
      </x:c>
      <x:c r="I28" s="7" t="str">
        <x:v>Local UI exists; real notification delivery not evidenced</x:v>
      </x:c>
      <x:c r="J28" s="7" t="str">
        <x:v>Open</x:v>
      </x:c>
    </x:row>
    <x:row r="29">
      <x:c r="A29" s="7" t="str">
        <x:v>US-028</x:v>
      </x:c>
      <x:c r="B29" s="7" t="str">
        <x:v>History</x:v>
      </x:c>
      <x:c r="C29" s="7" t="str">
        <x:v>Search history</x:v>
      </x:c>
      <x:c r="D29" s="7" t="str">
        <x:v>As a buyer, I want recent searches and activity so I can revisit work.</x:v>
      </x:c>
      <x:c r="E29" s="7" t="str">
        <x:v>Searches are recorded server-side when configured and shown in account/trends with useful fallback behavior.</x:v>
      </x:c>
      <x:c r="F29" s="7" t="str">
        <x:v>Implemented</x:v>
      </x:c>
      <x:c r="G29" s="7" t="str">
        <x:v>Automated</x:v>
      </x:c>
      <x:c r="H29" s="7" t="str">
        <x:v>src/history.js; src/history-base.js; src/worker.js; ui/src/components/AccountDashboard.tsx</x:v>
      </x:c>
      <x:c r="I29" s="7" t="str">
        <x:v>History helpers/API covered; browser test pending</x:v>
      </x:c>
      <x:c r="J29" s="7" t="str">
        <x:v>API pass / UI pending</x:v>
      </x:c>
    </x:row>
    <x:row r="30">
      <x:c r="A30" s="7" t="str">
        <x:v>US-029</x:v>
      </x:c>
      <x:c r="B30" s="7" t="str">
        <x:v>Trends</x:v>
      </x:c>
      <x:c r="C30" s="7" t="str">
        <x:v>Public trends</x:v>
      </x:c>
      <x:c r="D30" s="7" t="str">
        <x:v>As a visitor, I want to see popular queries, keywords, daily volume, and recent searches.</x:v>
      </x:c>
      <x:c r="E30" s="7" t="str">
        <x:v>/trends and /trenduri render data from /api/history and fall back to browser/local fixture data when unavailable; query links open search.</x:v>
      </x:c>
      <x:c r="F30" s="7" t="str">
        <x:v>Implemented</x:v>
      </x:c>
      <x:c r="G30" s="7" t="str">
        <x:v>Static</x:v>
      </x:c>
      <x:c r="H30" s="7" t="str">
        <x:v>ui/src/app/trends/*; ui/src/app/trenduri/page.tsx</x:v>
      </x:c>
      <x:c r="I30" s="7" t="str">
        <x:v>Static review; browser test pending</x:v>
      </x:c>
      <x:c r="J30" s="7" t="str">
        <x:v>API pass / UI pending</x:v>
      </x:c>
    </x:row>
    <x:row r="31">
      <x:c r="A31" s="7" t="str">
        <x:v>US-030</x:v>
      </x:c>
      <x:c r="B31" s="7" t="str">
        <x:v>Marketing</x:v>
      </x:c>
      <x:c r="C31" s="7" t="str">
        <x:v>Pricing page</x:v>
      </x:c>
      <x:c r="D31" s="7" t="str">
        <x:v>As a visitor, I want to understand search tiers and premium value.</x:v>
      </x:c>
      <x:c r="E31" s="7" t="str">
        <x:v>Pricing content accurately reflects available tier behavior and CTA routes to a working journey.</x:v>
      </x:c>
      <x:c r="F31" s="7" t="str">
        <x:v>Partial</x:v>
      </x:c>
      <x:c r="G31" s="7" t="str">
        <x:v>Static</x:v>
      </x:c>
      <x:c r="H31" s="7" t="str">
        <x:v>ui/src/app/pricing/page.tsx; ui/src/components/sections/Pricing.tsx; src/worker.js; src/server.js</x:v>
      </x:c>
      <x:c r="I31" s="7" t="str">
        <x:v>Premium exists only on Worker; monetization/entitlement wiring not evidenced</x:v>
      </x:c>
      <x:c r="J31" s="7" t="str">
        <x:v>Open</x:v>
      </x:c>
    </x:row>
    <x:row r="32">
      <x:c r="A32" s="7" t="str">
        <x:v>US-031</x:v>
      </x:c>
      <x:c r="B32" s="7" t="str">
        <x:v>Premium</x:v>
      </x:c>
      <x:c r="C32" s="7" t="str">
        <x:v>Premium search</x:v>
      </x:c>
      <x:c r="D32" s="7" t="str">
        <x:v>As a buyer, I want Premium to search extra sources and use conditional browser fallback.</x:v>
      </x:c>
      <x:c r="E32" s="7" t="str">
        <x:v>Worker accepts premium without payment token, runs direct first, uses bounded browser fallback only when needed, caches results, and returns summary.</x:v>
      </x:c>
      <x:c r="F32" s="7" t="str">
        <x:v>Implemented</x:v>
      </x:c>
      <x:c r="G32" s="7" t="str">
        <x:v>Automated</x:v>
      </x:c>
      <x:c r="H32" s="7" t="str">
        <x:v>src/worker.js; src/providers/cloudflare-browser.js; src/sites.js</x:v>
      </x:c>
      <x:c r="I32" s="7" t="str">
        <x:v>Worker premium tests pass; deployed binding/browser test pending</x:v>
      </x:c>
      <x:c r="J32" s="7" t="str">
        <x:v>API pass / UI pending</x:v>
      </x:c>
    </x:row>
    <x:row r="33">
      <x:c r="A33" s="7" t="str">
        <x:v>US-032</x:v>
      </x:c>
      <x:c r="B33" s="7" t="str">
        <x:v>Premium</x:v>
      </x:c>
      <x:c r="C33" s="7" t="str">
        <x:v>Local premium behavior</x:v>
      </x:c>
      <x:c r="D33" s="7" t="str">
        <x:v>As a local developer/user, I want the documented local API to behave consistently with deployed Premium.</x:v>
      </x:c>
      <x:c r="E33" s="7" t="str">
        <x:v>Local API should either implement Premium or clearly expose an intentional unsupported state with UI-safe messaging.</x:v>
      </x:c>
      <x:c r="F33" s="7" t="str">
        <x:v>Partial</x:v>
      </x:c>
      <x:c r="G33" s="7" t="str">
        <x:v>Automated</x:v>
      </x:c>
      <x:c r="H33" s="7" t="str">
        <x:v>src/server.js; src/worker.js; ui/src/app/search/page.tsx</x:v>
      </x:c>
      <x:c r="I33" s="7" t="str">
        <x:v>Local server returns 501 while UI can request premium; integration risk</x:v>
      </x:c>
      <x:c r="J33" s="7" t="str">
        <x:v>API pass after fix / UI pending</x:v>
      </x:c>
    </x:row>
    <x:row r="34">
      <x:c r="A34" s="7" t="str">
        <x:v>US-033</x:v>
      </x:c>
      <x:c r="B34" s="7" t="str">
        <x:v>Image</x:v>
      </x:c>
      <x:c r="C34" s="7" t="str">
        <x:v>Image proxy</x:v>
      </x:c>
      <x:c r="D34" s="7" t="str">
        <x:v>As a buyer, I want marketplace images to load through a safe proxy.</x:v>
      </x:c>
      <x:c r="E34" s="7" t="str">
        <x:v>Only allowed marketplace image URLs proxy; non-images, oversized responses, and disallowed hosts fail safely.</x:v>
      </x:c>
      <x:c r="F34" s="7" t="str">
        <x:v>Implemented</x:v>
      </x:c>
      <x:c r="G34" s="7" t="str">
        <x:v>Automated</x:v>
      </x:c>
      <x:c r="H34" s="7" t="str">
        <x:v>src/image-proxy.js; src/server.js; src/worker.js</x:v>
      </x:c>
      <x:c r="I34" s="7" t="str">
        <x:v>Proxy tests pass; browser test pending</x:v>
      </x:c>
      <x:c r="J34" s="7" t="str">
        <x:v>Open</x:v>
      </x:c>
    </x:row>
    <x:row r="35">
      <x:c r="A35" s="7" t="str">
        <x:v>US-034</x:v>
      </x:c>
      <x:c r="B35" s="7" t="str">
        <x:v>Image</x:v>
      </x:c>
      <x:c r="C35" s="7" t="str">
        <x:v>Search by picture</x:v>
      </x:c>
      <x:c r="D35" s="7" t="str">
        <x:v>As a buyer, I want to upload a product photo and receive editable search keywords.</x:v>
      </x:c>
      <x:c r="E35" s="7" t="str">
        <x:v>POST /api/image-search validates MIME/size, extracts structured intent, and returns query/keywords for editing before search.</x:v>
      </x:c>
      <x:c r="F35" s="7" t="str">
        <x:v>Partial</x:v>
      </x:c>
      <x:c r="G35" s="7" t="str">
        <x:v>Automated</x:v>
      </x:c>
      <x:c r="H35" s="7" t="str">
        <x:v>src/image-search.js; src/server.js; src/worker.js; docs/classified-marketplace-feature-plan.md</x:v>
      </x:c>
      <x:c r="I35" s="7" t="str">
        <x:v>Validation only; extraction endpoint currently stubbed/does not return intent</x:v>
      </x:c>
      <x:c r="J35" s="7" t="str">
        <x:v>Fail — confirmed</x:v>
      </x:c>
    </x:row>
    <x:row r="36">
      <x:c r="A36" s="7" t="str">
        <x:v>US-035</x:v>
      </x:c>
      <x:c r="B36" s="7" t="str">
        <x:v>Leads</x:v>
      </x:c>
      <x:c r="C36" s="7" t="str">
        <x:v>Email capture</x:v>
      </x:c>
      <x:c r="D36" s="7" t="str">
        <x:v>As a visitor, I want to submit my email for updates without leaving the page.</x:v>
      </x:c>
      <x:c r="E36" s="7" t="str">
        <x:v>Popup appears once after delay, validates email, submits to /api/leads, handles configured/unconfigured/error states, and can close.</x:v>
      </x:c>
      <x:c r="F36" s="7" t="str">
        <x:v>Implemented</x:v>
      </x:c>
      <x:c r="G36" s="7" t="str">
        <x:v>Static</x:v>
      </x:c>
      <x:c r="H36" s="7" t="str">
        <x:v>ui/src/components/EmailCapturePopup.tsx; src/leads.js; src/server.js; src/worker.js</x:v>
      </x:c>
      <x:c r="I36" s="7" t="str">
        <x:v>API normalization tests pass; browser test pending</x:v>
      </x:c>
      <x:c r="J36" s="7" t="str">
        <x:v>Open</x:v>
      </x:c>
    </x:row>
    <x:row r="37">
      <x:c r="A37" s="7" t="str">
        <x:v>US-036</x:v>
      </x:c>
      <x:c r="B37" s="7" t="str">
        <x:v>API</x:v>
      </x:c>
      <x:c r="C37" s="7" t="str">
        <x:v>Health checks</x:v>
      </x:c>
      <x:c r="D37" s="7" t="str">
        <x:v>As an admin, I want to run protected live marketplace health checks so I can diagnose source failures.</x:v>
      </x:c>
      <x:c r="E37" s="7" t="str">
        <x:v>Admin auth is required; live=1 is required; response identifies source health without exposing the endpoint publicly.</x:v>
      </x:c>
      <x:c r="F37" s="7" t="str">
        <x:v>Implemented</x:v>
      </x:c>
      <x:c r="G37" s="7" t="str">
        <x:v>Automated</x:v>
      </x:c>
      <x:c r="H37" s="7" t="str">
        <x:v>src/health.js; src/server.js; src/worker.js</x:v>
      </x:c>
      <x:c r="I37" s="7" t="str">
        <x:v>Contract path reviewed; live admin test pending</x:v>
      </x:c>
      <x:c r="J37" s="7" t="str">
        <x:v>Open</x:v>
      </x:c>
    </x:row>
    <x:row r="38">
      <x:c r="A38" s="7" t="str">
        <x:v>US-037</x:v>
      </x:c>
      <x:c r="B38" s="7" t="str">
        <x:v>API</x:v>
      </x:c>
      <x:c r="C38" s="7" t="str">
        <x:v>Listing URL safety</x:v>
      </x:c>
      <x:c r="D38" s="7" t="str">
        <x:v>As a buyer, I want detail/contact fetches restricted to supported HTTPS marketplaces.</x:v>
      </x:c>
      <x:c r="E38" s="7" t="str">
        <x:v>Unsupported hosts, bad schemes, and excessive redirects are rejected; successful pages are size-limited and cached.</x:v>
      </x:c>
      <x:c r="F38" s="7" t="str">
        <x:v>Implemented</x:v>
      </x:c>
      <x:c r="G38" s="7" t="str">
        <x:v>Automated</x:v>
      </x:c>
      <x:c r="H38" s="7" t="str">
        <x:v>src/worker.js; src/listing-details.js</x:v>
      </x:c>
      <x:c r="I38" s="7" t="str">
        <x:v>Worker detail/security tests pass</x:v>
      </x:c>
      <x:c r="J38" s="7" t="str">
        <x:v>Open</x:v>
      </x:c>
    </x:row>
    <x:row r="39">
      <x:c r="A39" s="7" t="str">
        <x:v>US-038</x:v>
      </x:c>
      <x:c r="B39" s="7" t="str">
        <x:v>API</x:v>
      </x:c>
      <x:c r="C39" s="7" t="str">
        <x:v>Search input limits</x:v>
      </x:c>
      <x:c r="D39" s="7" t="str">
        <x:v>As a client, I want invalid query/page/limit inputs rejected or bounded so requests remain safe.</x:v>
      </x:c>
      <x:c r="E39" s="7" t="str">
        <x:v>Missing q, invalid numbers, and unsupported site/provider produce appropriate 4xx responses; valid values are capped.</x:v>
      </x:c>
      <x:c r="F39" s="7" t="str">
        <x:v>Implemented</x:v>
      </x:c>
      <x:c r="G39" s="7" t="str">
        <x:v>Automated</x:v>
      </x:c>
      <x:c r="H39" s="7" t="str">
        <x:v>src/api-params.js; src/server.js; src/worker.js</x:v>
      </x:c>
      <x:c r="I39" s="7" t="str">
        <x:v>Parameter tests and worker contract pass</x:v>
      </x:c>
      <x:c r="J39" s="7" t="str">
        <x:v>API pass / UI pending</x:v>
      </x:c>
    </x:row>
    <x:row r="40">
      <x:c r="A40" s="7" t="str">
        <x:v>US-039</x:v>
      </x:c>
      <x:c r="B40" s="7" t="str">
        <x:v>Privacy</x:v>
      </x:c>
      <x:c r="C40" s="7" t="str">
        <x:v>Legal pages</x:v>
      </x:c>
      <x:c r="D40" s="7" t="str">
        <x:v>As a visitor, I want terms and privacy pages accessible before using auth/lead features.</x:v>
      </x:c>
      <x:c r="E40" s="7" t="str">
        <x:v>/termeni and /confidentialitate render readable content and are linked from auth/lead UI.</x:v>
      </x:c>
      <x:c r="F40" s="7" t="str">
        <x:v>Implemented</x:v>
      </x:c>
      <x:c r="G40" s="7" t="str">
        <x:v>Static</x:v>
      </x:c>
      <x:c r="H40" s="7" t="str">
        <x:v>ui/src/app/termeni/page.tsx; ui/src/app/confidentialitate/page.tsx; ui/src/components/GoogleSignIn.tsx</x:v>
      </x:c>
      <x:c r="I40" s="7" t="str">
        <x:v>Static review; browser test pending</x:v>
      </x:c>
      <x:c r="J40" s="7" t="str">
        <x:v>Open</x:v>
      </x:c>
    </x:row>
    <x:row r="41">
      <x:c r="A41" s="7" t="str">
        <x:v>US-040</x:v>
      </x:c>
      <x:c r="B41" s="7" t="str">
        <x:v>Reliability</x:v>
      </x:c>
      <x:c r="C41" s="7" t="str">
        <x:v>Provider fallback</x:v>
      </x:c>
      <x:c r="D41" s="7" t="str">
        <x:v>As a buyer, I want transient source failures retried/fallbacked without losing the whole search.</x:v>
      </x:c>
      <x:c r="E41" s="7" t="str">
        <x:v>Direct headers retry transient failures, remote fallback is bounded, source errors are retained, and successful sources remain usable.</x:v>
      </x:c>
      <x:c r="F41" s="7" t="str">
        <x:v>Implemented</x:v>
      </x:c>
      <x:c r="G41" s="7" t="str">
        <x:v>Automated</x:v>
      </x:c>
      <x:c r="H41" s="7" t="str">
        <x:v>src/search.js; src/app.js; src/providers/*</x:v>
      </x:c>
      <x:c r="I41" s="7" t="str">
        <x:v>Provider fallback tests pass; live browser test pending</x:v>
      </x:c>
      <x:c r="J41" s="7" t="str">
        <x:v>Open</x:v>
      </x:c>
    </x:row>
    <x:row r="42">
      <x:c r="A42" s="7" t="str">
        <x:v>US-041</x:v>
      </x:c>
      <x:c r="B42" s="7" t="str">
        <x:v>Catalog</x:v>
      </x:c>
      <x:c r="C42" s="7" t="str">
        <x:v>Marketplace routing</x:v>
      </x:c>
      <x:c r="D42" s="7" t="str">
        <x:v>As a buyer, I want vehicle/refurbished sources included only for relevant queries.</x:v>
      </x:c>
      <x:c r="E42" s="7" t="str">
        <x:v>Car-like searches route Autovit/BestAuto; relevant tech searches route Flip/Klap; unrelated searches do not add them.</x:v>
      </x:c>
      <x:c r="F42" s="7" t="str">
        <x:v>Implemented</x:v>
      </x:c>
      <x:c r="G42" s="7" t="str">
        <x:v>Automated</x:v>
      </x:c>
      <x:c r="H42" s="7" t="str">
        <x:v>src/sites.js</x:v>
      </x:c>
      <x:c r="I42" s="7" t="str">
        <x:v>Routing tests pass</x:v>
      </x:c>
      <x:c r="J42" s="7" t="str">
        <x:v>Open</x:v>
      </x:c>
    </x:row>
    <x:row r="43">
      <x:c r="A43" s="7" t="str">
        <x:v>US-042</x:v>
      </x:c>
      <x:c r="B43" s="7" t="str">
        <x:v>Analytics</x:v>
      </x:c>
      <x:c r="C43" s="7" t="str">
        <x:v>Event tracking</x:v>
      </x:c>
      <x:c r="D43" s="7" t="str">
        <x:v>As a product owner, I want key search/contact/feedback/lead actions tracked for diagnosis.</x:v>
      </x:c>
      <x:c r="E43" s="7" t="str">
        <x:v>Search, premium CTA, contact, copy, feedback, and lead events are emitted without blocking the user flow.</x:v>
      </x:c>
      <x:c r="F43" s="7" t="str">
        <x:v>Partial</x:v>
      </x:c>
      <x:c r="G43" s="7" t="str">
        <x:v>Static</x:v>
      </x:c>
      <x:c r="H43" s="7" t="str">
        <x:v>ui/src/app/search/page.tsx; ui/src/components/EmailCapturePopup.tsx; src/history.js; src/supabase.js</x:v>
      </x:c>
      <x:c r="I43" s="7" t="str">
        <x:v>Several events visible; complete event contract not independently verified</x:v>
      </x:c>
      <x:c r="J43" s="7" t="str">
        <x:v>Open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12" hidden="0" customWidth="1"/>
    <x:col min="5" max="5" width="54" hidden="0" customWidth="1"/>
    <x:col min="6" max="6" width="14" hidden="0" customWidth="1"/>
    <x:col min="7" max="7" width="54" hidden="0" customWidth="1"/>
    <x:col min="8" max="8" width="14" hidden="0" customWidth="1"/>
  </x:cols>
  <x:sheetData>
    <x:row r="1">
      <x:c r="A1" s="5" t="str">
        <x:v>Error ID</x:v>
      </x:c>
      <x:c r="B1" s="5" t="str">
        <x:v>Story</x:v>
      </x:c>
      <x:c r="C1" s="5" t="str">
        <x:v>Observed / suspected error</x:v>
      </x:c>
      <x:c r="D1" s="5" t="str">
        <x:v>Severity</x:v>
      </x:c>
      <x:c r="E1" s="5" t="str">
        <x:v>Evidence</x:v>
      </x:c>
      <x:c r="F1" s="5" t="str">
        <x:v>Status</x:v>
      </x:c>
      <x:c r="G1" s="5" t="str">
        <x:v>Fix direction</x:v>
      </x:c>
      <x:c r="H1" s="5" t="str">
        <x:v>Date</x:v>
      </x:c>
    </x:row>
    <x:row r="2">
      <x:c r="A2" s="7" t="str">
        <x:v>ERR-001</x:v>
      </x:c>
      <x:c r="B2" s="7" t="str">
        <x:v>US-032</x:v>
      </x:c>
      <x:c r="C2" s="7" t="str">
        <x:v>Local Premium API was intentionally unimplemented</x:v>
      </x:c>
      <x:c r="D2" s="7" t="str">
        <x:v>Medium</x:v>
      </x:c>
      <x:c r="E2" s="7" t="str">
        <x:v>Confirmed before fix: src/server.js returned 501 for /api/search/premium while UI could select premium and docs described Premium</x:v>
      </x:c>
      <x:c r="F2" s="7" t="str">
        <x:v>Fixed — verified</x:v>
      </x:c>
      <x:c r="G2" s="7" t="str">
        <x:v>Local server now performs direct Premium aggregation; deployed Worker retains Browser Run fallback</x:v>
      </x:c>
      <x:c r="H2" s="7" t="str">
        <x:v>2026-08-02</x:v>
      </x:c>
    </x:row>
    <x:row r="3">
      <x:c r="A3" s="7" t="str">
        <x:v>ERR-002</x:v>
      </x:c>
      <x:c r="B3" s="7" t="str">
        <x:v>US-034</x:v>
      </x:c>
      <x:c r="C3" s="7" t="str">
        <x:v>Image search endpoint validates but does not produce intent</x:v>
      </x:c>
      <x:c r="D3" s="7" t="str">
        <x:v>High</x:v>
      </x:c>
      <x:c r="E3" s="7" t="str">
        <x:v>Confirmed runtime: /api/image-search returns 501 because extractImageSearchIntent() always throws; feature plan expects editable extracted keywords</x:v>
      </x:c>
      <x:c r="F3" s="7" t="str">
        <x:v>Open — confirmed</x:v>
      </x:c>
      <x:c r="G3" s="7" t="str">
        <x:v>Implement provider-backed extraction and response contract, then wire UI upload/edit/search flow</x:v>
      </x:c>
      <x:c r="H3" s="7" t="str">
        <x:v>2026-08-02</x:v>
      </x:c>
    </x:row>
    <x:row r="4">
      <x:c r="A4" s="7" t="str">
        <x:v>ERR-003</x:v>
      </x:c>
      <x:c r="B4" s="7" t="str">
        <x:v>US-030</x:v>
      </x:c>
      <x:c r="C4" s="7" t="str">
        <x:v>Pricing/entitlement behavior is not evidenced</x:v>
      </x:c>
      <x:c r="D4" s="7" t="str">
        <x:v>Medium</x:v>
      </x:c>
      <x:c r="E4" s="7" t="str">
        <x:v>Static review: pricing surfaces exist but no billing/plan enforcement path is visible; Premium is worker-binding dependent</x:v>
      </x:c>
      <x:c r="F4" s="7" t="str">
        <x:v>Open — static risk</x:v>
      </x:c>
      <x:c r="G4" s="7" t="str">
        <x:v>Align copy with shipped beta behavior or implement entitlement/billing</x:v>
      </x:c>
      <x:c r="H4" s="7" t="str">
        <x:v>2026-08-02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14" hidden="0" customWidth="1"/>
    <x:col min="5" max="5" width="48" hidden="0" customWidth="1"/>
    <x:col min="6" max="6" width="14" hidden="0" customWidth="1"/>
    <x:col min="7" max="7" width="42" hidden="0" customWidth="1"/>
  </x:cols>
  <x:sheetData>
    <x:row r="1">
      <x:c r="A1" s="5" t="str">
        <x:v>Run ID</x:v>
      </x:c>
      <x:c r="B1" s="5" t="str">
        <x:v>Scope</x:v>
      </x:c>
      <x:c r="C1" s="5" t="str">
        <x:v>Command / method</x:v>
      </x:c>
      <x:c r="D1" s="5" t="str">
        <x:v>Result</x:v>
      </x:c>
      <x:c r="E1" s="5" t="str">
        <x:v>Evidence</x:v>
      </x:c>
      <x:c r="F1" s="5" t="str">
        <x:v>Date</x:v>
      </x:c>
      <x:c r="G1" s="5" t="str">
        <x:v>Coverage</x:v>
      </x:c>
    </x:row>
    <x:row r="2">
      <x:c r="A2" s="7" t="str">
        <x:v>BASELINE-001</x:v>
      </x:c>
      <x:c r="B2" s="7" t="str">
        <x:v>Automated backend/provider suite</x:v>
      </x:c>
      <x:c r="C2" s="7" t="str">
        <x:v>npm test</x:v>
      </x:c>
      <x:c r="D2" s="7" t="str">
        <x:v>Pass</x:v>
      </x:c>
      <x:c r="E2" s="7" t="str">
        <x:v>133/133 tests passed</x:v>
      </x:c>
      <x:c r="F2" s="7" t="str">
        <x:v>2026-08-02</x:v>
      </x:c>
      <x:c r="G2" s="7" t="str">
        <x:v>All src, parser, provider test files</x:v>
      </x:c>
    </x:row>
    <x:row r="3">
      <x:c r="A3" s="7" t="str">
        <x:v>BASELINE-002</x:v>
      </x:c>
      <x:c r="B3" s="7" t="str">
        <x:v>UI lint</x:v>
      </x:c>
      <x:c r="C3" s="7" t="str">
        <x:v>npm --prefix ui run lint:ci</x:v>
      </x:c>
      <x:c r="D3" s="7" t="str">
        <x:v>Pass</x:v>
      </x:c>
      <x:c r="E3" s="7" t="str">
        <x:v>ESLint completed with exit 0</x:v>
      </x:c>
      <x:c r="F3" s="7" t="str">
        <x:v>2026-08-02</x:v>
      </x:c>
      <x:c r="G3" s="7" t="str">
        <x:v>All ui source</x:v>
      </x:c>
    </x:row>
    <x:row r="4">
      <x:c r="A4" s="7" t="str">
        <x:v>BASELINE-003</x:v>
      </x:c>
      <x:c r="B4" s="7" t="str">
        <x:v>UI production build</x:v>
      </x:c>
      <x:c r="C4" s="7" t="str">
        <x:v>npm run build:ui</x:v>
      </x:c>
      <x:c r="D4" s="7" t="str">
        <x:v>Pass</x:v>
      </x:c>
      <x:c r="E4" s="7" t="str">
        <x:v>Next.js compiled, TypeScript passed, 15 static routes generated; npm reported 6 dependency vulnerabilities</x:v>
      </x:c>
      <x:c r="F4" s="7" t="str">
        <x:v>2026-08-02</x:v>
      </x:c>
      <x:c r="G4" s="7" t="str">
        <x:v>UI deployment artifact</x:v>
      </x:c>
    </x:row>
    <x:row r="5">
      <x:c r="A5" s="7" t="str">
        <x:v>RUNTIME-001</x:v>
      </x:c>
      <x:c r="B5" s="7" t="str">
        <x:v>Free search contract</x:v>
      </x:c>
      <x:c r="C5" s="7" t="str">
        <x:v>GET /api/search/free?q=iphone%2015&amp;site=all&amp;limit=5&amp;pages=1</x:v>
      </x:c>
      <x:c r="D5" s="7" t="str">
        <x:v>Pass</x:v>
      </x:c>
      <x:c r="E5" s="7" t="str">
        <x:v>HTTP 200; mock results returned; top-level bestOffer populated; history event recorded</x:v>
      </x:c>
      <x:c r="F5" s="7" t="str">
        <x:v>2026-08-02</x:v>
      </x:c>
      <x:c r="G5" s="7" t="str">
        <x:v>US-003, US-006, US-011, US-012, US-028, US-038</x:v>
      </x:c>
    </x:row>
    <x:row r="6">
      <x:c r="A6" s="7" t="str">
        <x:v>RUNTIME-002</x:v>
      </x:c>
      <x:c r="B6" s="7" t="str">
        <x:v>Free search validation</x:v>
      </x:c>
      <x:c r="C6" s="7" t="str">
        <x:v>GET /api/search/free without q</x:v>
      </x:c>
      <x:c r="D6" s="7" t="str">
        <x:v>Pass</x:v>
      </x:c>
      <x:c r="E6" s="7" t="str">
        <x:v>HTTP 400 with Missing q parameter</x:v>
      </x:c>
      <x:c r="F6" s="7" t="str">
        <x:v>2026-08-02</x:v>
      </x:c>
      <x:c r="G6" s="7" t="str">
        <x:v>US-003, US-038</x:v>
      </x:c>
    </x:row>
    <x:row r="7">
      <x:c r="A7" s="7" t="str">
        <x:v>RUNTIME-003</x:v>
      </x:c>
      <x:c r="B7" s="7" t="str">
        <x:v>Local Premium parity</x:v>
      </x:c>
      <x:c r="C7" s="7" t="str">
        <x:v>GET /api/search/premium?q=iphone%2015</x:v>
      </x:c>
      <x:c r="D7" s="7" t="str">
        <x:v>Fail</x:v>
      </x:c>
      <x:c r="E7" s="7" t="str">
        <x:v>HTTP 501: Premium search requires deployed Cloudflare Worker Browser Run binding</x:v>
      </x:c>
      <x:c r="F7" s="7" t="str">
        <x:v>2026-08-02</x:v>
      </x:c>
      <x:c r="G7" s="7" t="str">
        <x:v>US-030, US-031, US-032</x:v>
      </x:c>
    </x:row>
    <x:row r="8">
      <x:c r="A8" s="7" t="str">
        <x:v>RUNTIME-004</x:v>
      </x:c>
      <x:c r="B8" s="7" t="str">
        <x:v>Image search contract</x:v>
      </x:c>
      <x:c r="C8" s="7" t="str">
        <x:v>POST /api/image-search with image/png</x:v>
      </x:c>
      <x:c r="D8" s="7" t="str">
        <x:v>Fail</x:v>
      </x:c>
      <x:c r="E8" s="7" t="str">
        <x:v>HTTP 501: Image search provider is not configured yet; endpoint returns no intent/query</x:v>
      </x:c>
      <x:c r="F8" s="7" t="str">
        <x:v>2026-08-02</x:v>
      </x:c>
      <x:c r="G8" s="7" t="str">
        <x:v>US-034</x:v>
      </x:c>
    </x:row>
    <x:row r="9">
      <x:c r="A9" s="7" t="str">
        <x:v>RUNTIME-005</x:v>
      </x:c>
      <x:c r="B9" s="7" t="str">
        <x:v>Feedback validation</x:v>
      </x:c>
      <x:c r="C9" s="7" t="str">
        <x:v>POST /api/feedback with feedback=maybe</x:v>
      </x:c>
      <x:c r="D9" s="7" t="str">
        <x:v>Pass</x:v>
      </x:c>
      <x:c r="E9" s="7" t="str">
        <x:v>HTTP 400 with expected feedback validation error</x:v>
      </x:c>
      <x:c r="F9" s="7" t="str">
        <x:v>2026-08-02</x:v>
      </x:c>
      <x:c r="G9" s="7" t="str">
        <x:v>US-018, US-038</x:v>
      </x:c>
    </x:row>
    <x:row r="10">
      <x:c r="A10" s="7" t="str">
        <x:v>RUNTIME-006</x:v>
      </x:c>
      <x:c r="B10" s="7" t="str">
        <x:v>History surface</x:v>
      </x:c>
      <x:c r="C10" s="7" t="str">
        <x:v>GET /api/history</x:v>
      </x:c>
      <x:c r="D10" s="7" t="str">
        <x:v>Pass</x:v>
      </x:c>
      <x:c r="E10" s="7" t="str">
        <x:v>HTTP 200 with totals, top queries, daily trend, recent searches</x:v>
      </x:c>
      <x:c r="F10" s="7" t="str">
        <x:v>2026-08-02</x:v>
      </x:c>
      <x:c r="G10" s="7" t="str">
        <x:v>US-028, US-029</x:v>
      </x:c>
    </x:row>
    <x:row r="11">
      <x:c r="A11" s="7" t="str">
        <x:v>RUNTIME-007</x:v>
      </x:c>
      <x:c r="B11" s="7" t="str">
        <x:v>Browser UI journey</x:v>
      </x:c>
      <x:c r="C11" s="7" t="str">
        <x:v>In-app browser automation</x:v>
      </x:c>
      <x:c r="D11" s="7" t="str">
        <x:v>Blocked</x:v>
      </x:c>
      <x:c r="E11" s="7" t="str">
        <x:v>Node REPL/browser runtime is unavailable in this session; UI interactions remain unverified</x:v>
      </x:c>
      <x:c r="F11" s="7" t="str">
        <x:v>2026-08-02</x:v>
      </x:c>
      <x:c r="G11" s="7" t="str">
        <x:v>All UI interaction stories</x:v>
      </x:c>
    </x:row>
    <x:row r="12">
      <x:c r="A12" s="7" t="str">
        <x:v>RUNTIME-008</x:v>
      </x:c>
      <x:c r="B12" s="7" t="str">
        <x:v>Premium parity after fix</x:v>
      </x:c>
      <x:c r="C12" s="7" t="str">
        <x:v>GET /api/search/premium?q=iphone%2015&amp;site=all&amp;limit=5&amp;pages=1</x:v>
      </x:c>
      <x:c r="D12" s="7" t="str">
        <x:v>Pass</x:v>
      </x:c>
      <x:c r="E12" s="7" t="str">
        <x:v>HTTP 200; local direct Premium aggregation returned mock results and populated searchTier=premium</x:v>
      </x:c>
      <x:c r="F12" s="7" t="str">
        <x:v>2026-08-02</x:v>
      </x:c>
      <x:c r="G12" s="7" t="str">
        <x:v>US-032</x:v>
      </x:c>
    </x:row>
    <x:row r="13">
      <x:c r="A13" s="7" t="str">
        <x:v>RUNTIME-009</x:v>
      </x:c>
      <x:c r="B13" s="7" t="str">
        <x:v>UI route smoke test</x:v>
      </x:c>
      <x:c r="C13" s="7" t="str">
        <x:v>HTTP GET home/search/trends/account/pricing/termeni with redirect follow</x:v>
      </x:c>
      <x:c r="D13" s="7" t="str">
        <x:v>Pass</x:v>
      </x:c>
      <x:c r="E13" s="7" t="str">
        <x:v>All final responses HTTP 200; initial 308 redirects are expected from static route normalization</x:v>
      </x:c>
      <x:c r="F13" s="7" t="str">
        <x:v>2026-08-02</x:v>
      </x:c>
      <x:c r="G13" s="7" t="str">
        <x:v>US-001, US-003, US-026, US-029, US-030, US-039</x:v>
      </x:c>
    </x:row>
    <x:row r="14">
      <x:c r="A14" s="7" t="str">
        <x:v>BASELINE-004</x:v>
      </x:c>
      <x:c r="B14" s="7" t="str">
        <x:v>Full repository check</x:v>
      </x:c>
      <x:c r="C14" s="7" t="str">
        <x:v>npm run check</x:v>
      </x:c>
      <x:c r="D14" s="7" t="str">
        <x:v>Pass</x:v>
      </x:c>
      <x:c r="E14" s="7" t="str">
        <x:v>CLI help, 133 backend/provider tests, and contract checks completed successfully</x:v>
      </x:c>
      <x:c r="F14" s="7" t="str">
        <x:v>2026-08-02</x:v>
      </x:c>
      <x:c r="G14" s="7" t="str">
        <x:v>Backend and CLI</x:v>
      </x:c>
    </x:row>
    <x:row r="15">
      <x:c r="A15" s="7" t="str">
        <x:v>PENDING-003</x:v>
      </x:c>
      <x:c r="B15" s="7" t="str">
        <x:v>Post-fix regression pass</x:v>
      </x:c>
      <x:c r="C15" s="7" t="str">
        <x:v>Browser + automated</x:v>
      </x:c>
      <x:c r="D15" s="7" t="str">
        <x:v>Not run</x:v>
      </x:c>
      <x:c r="E15" s="7" t="str">
        <x:v>Run after fixes</x:v>
      </x:c>
      <x:c r="F15" s="7" t="str">
        <x:v>2026-08-02</x:v>
      </x:c>
      <x:c r="G15" s="7" t="str">
        <x:v>All stories with fixes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6" hidden="0" customWidth="1"/>
    <x:col min="3" max="3" width="44" hidden="0" customWidth="1"/>
    <x:col min="4" max="4" width="42" hidden="0" customWidth="1"/>
    <x:col min="5" max="5" width="42" hidden="0" customWidth="1"/>
  </x:cols>
  <x:sheetData>
    <x:row r="1">
      <x:c r="A1" s="5" t="str">
        <x:v>Surface</x:v>
      </x:c>
      <x:c r="B1" s="5" t="str">
        <x:v>Feature set</x:v>
      </x:c>
      <x:c r="C1" s="5" t="str">
        <x:v>Source files</x:v>
      </x:c>
      <x:c r="D1" s="5" t="str">
        <x:v>Why it matters</x:v>
      </x:c>
      <x:c r="E1" s="5" t="str">
        <x:v>Verification next step</x:v>
      </x:c>
    </x:row>
    <x:row r="2">
      <x:c r="A2" s="7" t="str">
        <x:v>UI routes</x:v>
      </x:c>
      <x:c r="B2" s="7" t="str">
        <x:v>/; /search; /trends; /trenduri; /pricing; /account; /auth; /signup; /reset; /confirm; /termeni; /confidentialitate</x:v>
      </x:c>
      <x:c r="C2" s="7" t="str">
        <x:v>ui/src/app</x:v>
      </x:c>
      <x:c r="D2" s="7" t="str">
        <x:v>Route inventory from app files</x:v>
      </x:c>
      <x:c r="E2" s="7" t="str">
        <x:v>Review each route in browser</x:v>
      </x:c>
    </x:row>
    <x:row r="3">
      <x:c r="A3" s="7" t="str">
        <x:v>UI components</x:v>
      </x:c>
      <x:c r="B3" s="7" t="str">
        <x:v>Navbar, Footer, SearchBar, SearchFilters, ProductCard, AccountDashboard, EmailCapturePopup, GoogleSignIn</x:v>
      </x:c>
      <x:c r="C3" s="7" t="str">
        <x:v>ui/src/components</x:v>
      </x:c>
      <x:c r="D3" s="7" t="str">
        <x:v>Interaction inventory</x:v>
      </x:c>
      <x:c r="E3" s="7" t="str">
        <x:v>Browser test required</x:v>
      </x:c>
    </x:row>
    <x:row r="4">
      <x:c r="A4" s="7" t="str">
        <x:v>Worker API</x:v>
      </x:c>
      <x:c r="B4" s="7" t="str">
        <x:v>/api/search/free, /api/search/premium, /api/marketplace/details, /api/marketplace/contact, /api/conversations, /api/whatsapp/send, /api/image-search, /api/history, /api/feedback, /api/leads, /api/image</x:v>
      </x:c>
      <x:c r="C4" s="7" t="str">
        <x:v>src/worker.js</x:v>
      </x:c>
      <x:c r="D4" s="7" t="str">
        <x:v>Deployed runtime surface</x:v>
      </x:c>
      <x:c r="E4" s="7" t="str">
        <x:v>Contract tests + binding-dependent tests</x:v>
      </x:c>
    </x:row>
    <x:row r="5">
      <x:c r="A5" s="7" t="str">
        <x:v>Local API</x:v>
      </x:c>
      <x:c r="B5" s="7" t="str">
        <x:v>/api/search/free, /api/search/premium, /api/saved-searches, /api/health/sources, /api/image-search, /api/history, /api/leads, /api/feedback, /api/image</x:v>
      </x:c>
      <x:c r="C5" s="7" t="str">
        <x:v>src/server.js</x:v>
      </x:c>
      <x:c r="D5" s="7" t="str">
        <x:v>Local runtime surface</x:v>
      </x:c>
      <x:c r="E5" s="7" t="str">
        <x:v>Premium parity issue tracked as US-032</x:v>
      </x:c>
    </x:row>
    <x:row r="6">
      <x:c r="A6" s="7" t="str">
        <x:v>Search pipeline</x:v>
      </x:c>
      <x:c r="B6" s="7" t="str">
        <x:v>site routing, direct fetch, retries, remote fallback, parsing, normalization, aggregation, ranking</x:v>
      </x:c>
      <x:c r="C6" s="7" t="str">
        <x:v>src/sites.js; src/search.js; src/aggregate.js; src/relevance.js</x:v>
      </x:c>
      <x:c r="D6" s="7" t="str">
        <x:v>Core domain behavior</x:v>
      </x:c>
      <x:c r="E6" s="7" t="str">
        <x:v>Automated suite</x:v>
      </x:c>
    </x:row>
    <x:row r="7">
      <x:c r="A7" s="7" t="str">
        <x:v>Persistence</x:v>
      </x:c>
      <x:c r="B7" s="7" t="str">
        <x:v>Supabase search events, leads, feedback, saved searches, WhatsApp messages</x:v>
      </x:c>
      <x:c r="C7" s="7" t="str">
        <x:v>src/supabase.js; supabase/*.sql</x:v>
      </x:c>
      <x:c r="D7" s="7" t="str">
        <x:v>Authenticated/persistent features</x:v>
      </x:c>
      <x:c r="E7" s="7" t="str">
        <x:v>Configuration-dependent browser test</x:v>
      </x:c>
    </x:row>
    <x:row r="8">
      <x:c r="A8" s="7" t="str">
        <x:v>Provider integrations</x:v>
      </x:c>
      <x:c r="B8" s="7" t="str">
        <x:v>Direct parsers, Firecrawl, Cloudflare, Browser Run, OpenClaw</x:v>
      </x:c>
      <x:c r="C8" s="7" t="str">
        <x:v>src/providers; src/parsers</x:v>
      </x:c>
      <x:c r="D8" s="7" t="str">
        <x:v>External reliability surface</x:v>
      </x:c>
      <x:c r="E8" s="7" t="str">
        <x:v>Mocks/unit tests + live smoke tests</x:v>
      </x:c>
    </x:row>
    <x:row r="9">
      <x:c r="A9" s="7" t="str">
        <x:v>Existing docs</x:v>
      </x:c>
      <x:c r="B9" s="7" t="str">
        <x:v>README, capability/audit docs, feature plan, QA notes</x:v>
      </x:c>
      <x:c r="C9" s="7" t="str">
        <x:v>README.md; docs/*</x:v>
      </x:c>
      <x:c r="D9" s="7" t="str">
        <x:v>Claim/evidence cross-check</x:v>
      </x:c>
      <x:c r="E9" s="7" t="str">
        <x:v>Review against current behavior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64" hidden="0" customWidth="1"/>
    <x:col min="5" max="5" width="24" hidden="0" customWidth="1"/>
    <x:col min="6" max="6" width="22" hidden="0" customWidth="1"/>
    <x:col min="7" max="7" width="42" hidden="0" customWidth="1"/>
  </x:cols>
  <x:sheetData>
    <x:row r="1">
      <x:c r="A1" s="5" t="str">
        <x:v>Action ID</x:v>
      </x:c>
      <x:c r="B1" s="5" t="str">
        <x:v>Priority</x:v>
      </x:c>
      <x:c r="C1" s="5" t="str">
        <x:v>What to add/change</x:v>
      </x:c>
      <x:c r="D1" s="5" t="str">
        <x:v>Acceptance criteria</x:v>
      </x:c>
      <x:c r="E1" s="5" t="str">
        <x:v>Related stories</x:v>
      </x:c>
      <x:c r="F1" s="5" t="str">
        <x:v>Status</x:v>
      </x:c>
      <x:c r="G1" s="5" t="str">
        <x:v>Dependency / constraint</x:v>
      </x:c>
    </x:row>
    <x:row r="2">
      <x:c r="A2" s="7" t="str">
        <x:v>ACT-001</x:v>
      </x:c>
      <x:c r="B2" s="7" t="str">
        <x:v>High</x:v>
      </x:c>
      <x:c r="C2" s="7" t="str">
        <x:v>Add real image-search provider and UI upload/edit flow</x:v>
      </x:c>
      <x:c r="D2" s="7" t="str">
        <x:v>Implement provider-backed intent extraction, return editable keywords/query, add upload UI, and test MIME/size/error/success paths.</x:v>
      </x:c>
      <x:c r="E2" s="7" t="str">
        <x:v>US-034</x:v>
      </x:c>
      <x:c r="F2" s="7" t="str">
        <x:v>Open / product work</x:v>
      </x:c>
      <x:c r="G2" s="7" t="str">
        <x:v>Requires provider credentials/selection</x:v>
      </x:c>
    </x:row>
    <x:row r="3">
      <x:c r="A3" s="7" t="str">
        <x:v>ACT-002</x:v>
      </x:c>
      <x:c r="B3" s="7" t="str">
        <x:v>High</x:v>
      </x:c>
      <x:c r="C3" s="7" t="str">
        <x:v>Run interactive browser acceptance pass</x:v>
      </x:c>
      <x:c r="D3" s="7" t="str">
        <x:v>Test all navigation, search, filters, result actions, drawers, auth redirects, account sections, alerts, trends, and lead modal interactions.</x:v>
      </x:c>
      <x:c r="E3" s="7" t="str">
        <x:v>US-001–US-042</x:v>
      </x:c>
      <x:c r="F3" s="7" t="str">
        <x:v>Blocked in this session</x:v>
      </x:c>
      <x:c r="G3" s="7" t="str">
        <x:v>Browser Node-REPL runtime unavailable</x:v>
      </x:c>
    </x:row>
    <x:row r="4">
      <x:c r="A4" s="7" t="str">
        <x:v>ACT-003</x:v>
      </x:c>
      <x:c r="B4" s="7" t="str">
        <x:v>High</x:v>
      </x:c>
      <x:c r="C4" s="7" t="str">
        <x:v>Run authenticated integration pass</x:v>
      </x:c>
      <x:c r="D4" s="7" t="str">
        <x:v>Configure test Supabase/OpenClaw/Worker bindings and verify favorites, conversations, WhatsApp, alerts, feedback, and lead persistence end to end.</x:v>
      </x:c>
      <x:c r="E4" s="7" t="str">
        <x:v>US-016–US-028, US-035</x:v>
      </x:c>
      <x:c r="F4" s="7" t="str">
        <x:v>Open / environment work</x:v>
      </x:c>
      <x:c r="G4" s="7" t="str">
        <x:v>Requires safe test credentials</x:v>
      </x:c>
    </x:row>
    <x:row r="5">
      <x:c r="A5" s="7" t="str">
        <x:v>ACT-004</x:v>
      </x:c>
      <x:c r="B5" s="7" t="str">
        <x:v>High</x:v>
      </x:c>
      <x:c r="C5" s="7" t="str">
        <x:v>Post-fix regression of every story</x:v>
      </x:c>
      <x:c r="D5" s="7" t="str">
        <x:v>For every row, record post-fix evidence and close only when expected behavior is observed, not merely statically inferred.</x:v>
      </x:c>
      <x:c r="E5" s="7" t="str">
        <x:v>All stories</x:v>
      </x:c>
      <x:c r="F5" s="7" t="str">
        <x:v>Open / QA work</x:v>
      </x:c>
      <x:c r="G5" s="7" t="str">
        <x:v>Must follow ACT-002 and ACT-003</x:v>
      </x:c>
    </x:row>
    <x:row r="6">
      <x:c r="A6" s="7" t="str">
        <x:v>ACT-005</x:v>
      </x:c>
      <x:c r="B6" s="7" t="str">
        <x:v>Medium</x:v>
      </x:c>
      <x:c r="C6" s="7" t="str">
        <x:v>Assess UI dependency vulnerabilities</x:v>
      </x:c>
      <x:c r="D6" s="7" t="str">
        <x:v>Review the 6 vulnerabilities reported by npm during UI install; upgrade or document accepted risk.</x:v>
      </x:c>
      <x:c r="E6" s="7" t="str">
        <x:v>Reliability</x:v>
      </x:c>
      <x:c r="F6" s="7" t="str">
        <x:v>Open / dependency work</x:v>
      </x:c>
      <x:c r="G6" s="7" t="str">
        <x:v>Do not run npm audit fix --force without review</x:v>
      </x:c>
    </x:row>
    <x:row r="7">
      <x:c r="A7" s="7" t="str">
        <x:v>ACT-006</x:v>
      </x:c>
      <x:c r="B7" s="7" t="str">
        <x:v>Medium</x:v>
      </x:c>
      <x:c r="C7" s="7" t="str">
        <x:v>Run live marketplace health smoke tests</x:v>
      </x:c>
      <x:c r="D7" s="7" t="str">
        <x:v>Use protected admin health endpoint and one controlled live query to validate source availability and parser drift.</x:v>
      </x:c>
      <x:c r="E7" s="7" t="str">
        <x:v>US-006, US-036, US-040, US-041</x:v>
      </x:c>
      <x:c r="F7" s="7" t="str">
        <x:v>Open / environment work</x:v>
      </x:c>
      <x:c r="G7" s="7" t="str">
        <x:v>Requires external network/admin token</x:v>
      </x:c>
    </x:row>
    <x:row r="8">
      <x:c r="A8" s="7" t="str">
        <x:v>ACT-007</x:v>
      </x:c>
      <x:c r="B8" s="7" t="str">
        <x:v>Low</x:v>
      </x:c>
      <x:c r="C8" s="7" t="str">
        <x:v>Add server-level automated coverage for local Premium</x:v>
      </x:c>
      <x:c r="D8" s="7" t="str">
        <x:v>Move the runtime smoke assertion into a repeatable automated test around the local server handler or extracted handler function.</x:v>
      </x:c>
      <x:c r="E8" s="7" t="str">
        <x:v>US-032</x:v>
      </x:c>
      <x:c r="F8" s="7" t="str">
        <x:v>Open / test hardening</x:v>
      </x:c>
      <x:c r="G8" s="7" t="str">
        <x:v>Current fix was verified with a runtime smoke test</x:v>
      </x:c>
    </x:row>
  </x:sheetData>
  <x:pageMargins left="0.7" right="0.7" top="0.75" bottom="0.75" header="0.3" footer="0.3"/>
</x:worksheet>
</file>